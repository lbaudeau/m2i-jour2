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-15" yWindow="-15" windowWidth="9630" windowHeight="1725" tabRatio="583"/>
  </bookViews>
  <sheets>
    <sheet name="rapport_annuel" sheetId="1" r:id="rId1"/>
    <sheet name="Macro1" sheetId="3" state="hidden" r:id="rId2"/>
  </sheets>
  <functionGroups/>
  <externalReferences>
    <externalReference r:id="rId3"/>
  </externalReferences>
  <definedNames>
    <definedName name="afficher_barre_outils__e" xlm="1" functionGroupId="14" shortcutKey="e">Macro1!$E$2</definedName>
    <definedName name="Afficher1" xlm="1" functionGroupId="14" shortcutKey="a">Macro1!$A$2</definedName>
    <definedName name="Bénéfice_brut">#REF!</definedName>
    <definedName name="Comptabilité">#REF!</definedName>
    <definedName name="Consultants_Design">#REF!</definedName>
    <definedName name="Coût_de_revient">#REF!</definedName>
    <definedName name="définir_meilleur__g" xlm="1" functionGroupId="14" shortcutKey="g">Macro1!$G$2</definedName>
    <definedName name="définir_pire__d" xlm="1" functionGroupId="14" shortcutKey="d">Macro1!$D$2</definedName>
    <definedName name="Dépenses">#REF!</definedName>
    <definedName name="_xlnm.Recorder" localSheetId="0">[1]Macro1!$A$1:$A$65536</definedName>
    <definedName name="Frais_administratifs">#REF!</definedName>
    <definedName name="Impression">#REF!</definedName>
    <definedName name="Loyer">#REF!</definedName>
    <definedName name="Masquer1_Afficher2" xlm="1" functionGroupId="14" shortcutKey="b">Macro1!$B$2</definedName>
    <definedName name="Masquer2" xlm="1" functionGroupId="14" shortcutKey="c">Macro1!$C$2</definedName>
    <definedName name="onglet_modl2810__A" xlm="1" functionGroupId="14" shortcutKey="A">Macro1!$H$2</definedName>
    <definedName name="onglet_ventes93_dépenses__B" xlm="1" functionGroupId="14" shortcutKey="B">Macro1!$I$2</definedName>
    <definedName name="Photos">#REF!</definedName>
    <definedName name="Revenu_brut">#REF!</definedName>
    <definedName name="Revenu_d_exploitation">#REF!</definedName>
    <definedName name="Secrétaires">#REF!</definedName>
    <definedName name="Services_graphiques">#REF!</definedName>
    <definedName name="Services_vidéos">#REF!</definedName>
    <definedName name="Télécommunications">#REF!</definedName>
  </definedNames>
  <calcPr calcId="125725" fullCalcOnLoad="1"/>
</workbook>
</file>

<file path=xl/calcChain.xml><?xml version="1.0" encoding="utf-8"?>
<calcChain xmlns="http://schemas.openxmlformats.org/spreadsheetml/2006/main">
  <c r="D8" i="1"/>
  <c r="D12"/>
  <c r="D13"/>
  <c r="E8"/>
  <c r="E12"/>
  <c r="E13"/>
  <c r="F8"/>
  <c r="F12"/>
  <c r="F13"/>
  <c r="G8"/>
  <c r="G12"/>
  <c r="G13"/>
  <c r="H8"/>
  <c r="H12"/>
  <c r="H13"/>
  <c r="I5"/>
  <c r="I6"/>
  <c r="I7"/>
  <c r="I8"/>
  <c r="I9"/>
  <c r="I10"/>
  <c r="I11"/>
  <c r="I12"/>
  <c r="I13"/>
  <c r="J8"/>
  <c r="J12"/>
  <c r="J13"/>
  <c r="K8"/>
  <c r="K12"/>
  <c r="K13"/>
  <c r="L8"/>
  <c r="L12"/>
  <c r="L13"/>
  <c r="M8"/>
  <c r="M12"/>
  <c r="M13"/>
  <c r="N8"/>
  <c r="N12"/>
  <c r="N13"/>
  <c r="O8"/>
  <c r="O12"/>
  <c r="O13"/>
  <c r="P5"/>
  <c r="P6"/>
  <c r="P7"/>
  <c r="P8"/>
  <c r="P9"/>
  <c r="P10"/>
  <c r="P11"/>
  <c r="P12"/>
  <c r="P13"/>
  <c r="Q6"/>
  <c r="Q7"/>
  <c r="Q8"/>
  <c r="Q9"/>
  <c r="Q10"/>
  <c r="Q11"/>
  <c r="Q12"/>
  <c r="Q13"/>
  <c r="Q5"/>
  <c r="C8"/>
  <c r="C12"/>
  <c r="C13"/>
</calcChain>
</file>

<file path=xl/sharedStrings.xml><?xml version="1.0" encoding="utf-8"?>
<sst xmlns="http://schemas.openxmlformats.org/spreadsheetml/2006/main" count="37" uniqueCount="37">
  <si>
    <t>Rapport des ventes annuelles</t>
  </si>
  <si>
    <t>Jan</t>
  </si>
  <si>
    <t>Fév</t>
  </si>
  <si>
    <t>Mar</t>
  </si>
  <si>
    <t>Avr</t>
  </si>
  <si>
    <t>Mai</t>
  </si>
  <si>
    <t>Jul</t>
  </si>
  <si>
    <t>Aoû</t>
  </si>
  <si>
    <t>Sep</t>
  </si>
  <si>
    <t>Oct</t>
  </si>
  <si>
    <t>Nov</t>
  </si>
  <si>
    <t>Déc</t>
  </si>
  <si>
    <t>Totaux annuels</t>
  </si>
  <si>
    <t>voitures</t>
  </si>
  <si>
    <t>Compactes</t>
  </si>
  <si>
    <t>Moyennes</t>
  </si>
  <si>
    <t>Luxe</t>
  </si>
  <si>
    <t>Total voitures</t>
  </si>
  <si>
    <t>camions</t>
  </si>
  <si>
    <t>Minibus</t>
  </si>
  <si>
    <t>Fourgonnettes</t>
  </si>
  <si>
    <t>Poids lourd</t>
  </si>
  <si>
    <t>Total camions</t>
  </si>
  <si>
    <t>Total des ventes</t>
  </si>
  <si>
    <t>Afficher1</t>
  </si>
  <si>
    <t>Masquer1/Afficher2</t>
  </si>
  <si>
    <t>Masquer2</t>
  </si>
  <si>
    <t>définir_pire (d)</t>
  </si>
  <si>
    <t>afficher_barre_outils (e)</t>
  </si>
  <si>
    <t>définir_meilleur (g)</t>
  </si>
  <si>
    <t>onglet_modl2810 (A)</t>
  </si>
  <si>
    <t>onglet_ventes93_dépenses (B)</t>
  </si>
  <si>
    <t>scénario.xls</t>
  </si>
  <si>
    <t>entr910a.xls</t>
  </si>
  <si>
    <t>Juin</t>
  </si>
  <si>
    <t>Semestre 1</t>
  </si>
  <si>
    <t>Semestre 2</t>
  </si>
</sst>
</file>

<file path=xl/styles.xml><?xml version="1.0" encoding="utf-8"?>
<styleSheet xmlns="http://schemas.openxmlformats.org/spreadsheetml/2006/main">
  <fonts count="7">
    <font>
      <sz val="10"/>
      <name val="Arial"/>
    </font>
    <font>
      <b/>
      <sz val="10"/>
      <name val="Arial"/>
    </font>
    <font>
      <sz val="10"/>
      <name val="Arial"/>
    </font>
    <font>
      <sz val="10"/>
      <name val="MS Sans Serif"/>
    </font>
    <font>
      <sz val="10"/>
      <name val="Arial"/>
      <family val="2"/>
    </font>
    <font>
      <b/>
      <sz val="12"/>
      <name val="Arial"/>
      <family val="2"/>
    </font>
    <font>
      <sz val="8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38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/>
    <xf numFmtId="0" fontId="3" fillId="0" borderId="0"/>
  </cellStyleXfs>
  <cellXfs count="16">
    <xf numFmtId="0" fontId="0" fillId="0" borderId="0" xfId="0"/>
    <xf numFmtId="0" fontId="2" fillId="0" borderId="0" xfId="3"/>
    <xf numFmtId="0" fontId="2" fillId="0" borderId="0" xfId="3" applyFont="1"/>
    <xf numFmtId="0" fontId="4" fillId="0" borderId="0" xfId="4" applyFont="1" applyAlignment="1">
      <alignment horizontal="center"/>
    </xf>
    <xf numFmtId="0" fontId="5" fillId="0" borderId="0" xfId="4" applyFont="1" applyAlignment="1">
      <alignment horizontal="centerContinuous"/>
    </xf>
    <xf numFmtId="0" fontId="4" fillId="0" borderId="0" xfId="4" applyFont="1" applyAlignment="1"/>
    <xf numFmtId="0" fontId="4" fillId="0" borderId="1" xfId="4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" fillId="0" borderId="1" xfId="4" applyFont="1" applyBorder="1" applyAlignment="1">
      <alignment horizontal="center" vertical="center"/>
    </xf>
    <xf numFmtId="0" fontId="4" fillId="0" borderId="0" xfId="4" applyFont="1" applyAlignment="1">
      <alignment horizontal="center" vertical="center"/>
    </xf>
    <xf numFmtId="0" fontId="1" fillId="0" borderId="1" xfId="4" applyFont="1" applyBorder="1" applyAlignment="1">
      <alignment vertical="center"/>
    </xf>
    <xf numFmtId="0" fontId="2" fillId="0" borderId="1" xfId="4" applyFont="1" applyBorder="1" applyAlignment="1">
      <alignment horizontal="left" vertical="center"/>
    </xf>
    <xf numFmtId="3" fontId="4" fillId="0" borderId="1" xfId="4" applyNumberFormat="1" applyFont="1" applyBorder="1" applyAlignment="1">
      <alignment vertical="center"/>
    </xf>
    <xf numFmtId="0" fontId="4" fillId="0" borderId="0" xfId="4" applyFont="1" applyAlignment="1">
      <alignment vertical="center"/>
    </xf>
    <xf numFmtId="0" fontId="4" fillId="0" borderId="1" xfId="4" applyFont="1" applyBorder="1" applyAlignment="1">
      <alignment vertical="center"/>
    </xf>
    <xf numFmtId="0" fontId="1" fillId="0" borderId="1" xfId="4" applyFont="1" applyBorder="1" applyAlignment="1">
      <alignment horizontal="left" vertical="center"/>
    </xf>
  </cellXfs>
  <cellStyles count="5">
    <cellStyle name="Comma [0]" xfId="1"/>
    <cellStyle name="Currency [0]" xfId="2"/>
    <cellStyle name="Normal" xfId="0" builtinId="0"/>
    <cellStyle name="Normal_Macro2" xfId="3"/>
    <cellStyle name="Normal_SALES93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tagiaire/EXCEL5/EXCELCBT/REGIONS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1"/>
    </sheetNames>
    <sheetDataSet>
      <sheetData sheetId="0">
        <row r="1">
          <cell r="A1" t="str">
            <v>CenterAcross</v>
          </cell>
        </row>
        <row r="2">
          <cell r="A2" t="b">
            <v>0</v>
          </cell>
        </row>
        <row r="3">
          <cell r="A3" t="b">
            <v>0</v>
          </cell>
        </row>
      </sheetData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:I26"/>
  <sheetViews>
    <sheetView showFormulas="1" workbookViewId="0">
      <selection activeCell="D5" sqref="D5"/>
    </sheetView>
  </sheetViews>
  <sheetFormatPr baseColWidth="10" defaultColWidth="9.140625" defaultRowHeight="12.75"/>
  <cols>
    <col min="1" max="5" width="9.140625" customWidth="1"/>
    <col min="6" max="6" width="1.7109375" customWidth="1"/>
  </cols>
  <sheetData>
    <row r="1" spans="1:9">
      <c r="A1" t="s">
        <v>24</v>
      </c>
      <c r="B1" t="s">
        <v>25</v>
      </c>
      <c r="C1" t="s">
        <v>26</v>
      </c>
      <c r="D1" s="2" t="s">
        <v>27</v>
      </c>
      <c r="E1" s="2" t="s">
        <v>28</v>
      </c>
      <c r="G1" s="2" t="s">
        <v>29</v>
      </c>
      <c r="H1" t="s">
        <v>30</v>
      </c>
      <c r="I1" t="s">
        <v>31</v>
      </c>
    </row>
    <row r="2" spans="1:9">
      <c r="A2" t="b">
        <f>HIDE.OBJECT("trait 8", 0)</f>
        <v>1</v>
      </c>
      <c r="B2" t="b">
        <f>HIDE.OBJECT("trait 8", 1)</f>
        <v>1</v>
      </c>
      <c r="C2" t="e">
        <f>HIDE.OBJECT("rectangle 18", 1)</f>
        <v>#VALUE!</v>
      </c>
      <c r="D2" s="1" t="b">
        <f>SCENARIO.ADD("Au pire",{"150 000 F","66 417,5 F"},"L3C2:L4C2","",TRUE,FALSE)</f>
        <v>0</v>
      </c>
      <c r="E2" s="1" t="b">
        <f>SHOW.TOOLBAR(11,TRUE)</f>
        <v>1</v>
      </c>
      <c r="G2" s="1" t="b">
        <f>SELECT("L3C2:L4C2")</f>
        <v>0</v>
      </c>
      <c r="H2" t="b">
        <f>WORKBOOK.SELECT("Revenu","Revenu")</f>
        <v>0</v>
      </c>
      <c r="I2" t="b">
        <f>WORKBOOK.SELECT({"Rapport","Dépenses"},"Rapport")</f>
        <v>0</v>
      </c>
    </row>
    <row r="3" spans="1:9">
      <c r="A3" t="b">
        <f>HIDE.OBJECT("trait 10", 0)</f>
        <v>1</v>
      </c>
      <c r="B3" t="b">
        <f>HIDE.OBJECT("trait 10", 1)</f>
        <v>1</v>
      </c>
      <c r="C3" t="b">
        <f>HIDE.OBJECT("rectangle 19", 1)</f>
        <v>1</v>
      </c>
      <c r="D3" s="1" t="b">
        <f>SCENARIO.SHOW("Au pire")</f>
        <v>0</v>
      </c>
      <c r="E3" s="1" t="b">
        <f>RETURN()</f>
        <v>1</v>
      </c>
      <c r="G3" s="1" t="b">
        <f>SCENARIO.ADD("Au mieux",{"750 000 F","132 825 F"},"L3C2:L4C2","",TRUE,FALSE)</f>
        <v>0</v>
      </c>
      <c r="H3" t="b">
        <f>WORKBOOK.MOVE("Revenu","BUDGET.XLS",1)</f>
        <v>0</v>
      </c>
      <c r="I3" t="b">
        <f>WORKBOOK.MOVE({"Rapport","Dépenses"},"BUDGET.XLS",1)</f>
        <v>0</v>
      </c>
    </row>
    <row r="4" spans="1:9">
      <c r="A4" t="b">
        <f>HIDE.OBJECT("trait 11", 0)</f>
        <v>1</v>
      </c>
      <c r="B4" t="b">
        <f>HIDE.OBJECT("trait 11", 1)</f>
        <v>1</v>
      </c>
      <c r="C4" t="b">
        <f>HIDE.OBJECT("rectangle 20", 1)</f>
        <v>1</v>
      </c>
      <c r="D4" s="1" t="b">
        <f>RETURN()</f>
        <v>1</v>
      </c>
      <c r="E4" s="1"/>
      <c r="G4" s="1" t="b">
        <f>SCENARIO.SHOW("Au mieux")</f>
        <v>0</v>
      </c>
      <c r="H4" t="b">
        <f>RETURN()</f>
        <v>0</v>
      </c>
      <c r="I4" t="b">
        <f>RETURN()</f>
        <v>0</v>
      </c>
    </row>
    <row r="5" spans="1:9">
      <c r="A5" t="b">
        <f>HIDE.OBJECT("trait 12", 0)</f>
        <v>1</v>
      </c>
      <c r="B5" t="b">
        <f>HIDE.OBJECT("trait 12", 1)</f>
        <v>1</v>
      </c>
      <c r="C5" t="b">
        <f>HIDE.OBJECT("rectangle 21", 1)</f>
        <v>1</v>
      </c>
      <c r="E5" s="1"/>
      <c r="G5" s="1" t="b">
        <f>RETURN()</f>
        <v>1</v>
      </c>
    </row>
    <row r="6" spans="1:9">
      <c r="A6" t="b">
        <f>HIDE.OBJECT("trait 13", 0)</f>
        <v>1</v>
      </c>
      <c r="B6" t="b">
        <f>HIDE.OBJECT("trait 13", 1)</f>
        <v>1</v>
      </c>
      <c r="C6" t="b">
        <f>HIDE.OBJECT("rectangle 24", 1)</f>
        <v>1</v>
      </c>
      <c r="E6" s="1"/>
      <c r="F6" s="1"/>
      <c r="G6" s="1"/>
    </row>
    <row r="7" spans="1:9">
      <c r="A7" t="b">
        <f>HIDE.OBJECT("trait 14", 0)</f>
        <v>1</v>
      </c>
      <c r="B7" t="b">
        <f>HIDE.OBJECT("trait 14", 1)</f>
        <v>1</v>
      </c>
      <c r="C7" t="b">
        <f>HIDE.OBJECT("rectangle 26", 1)</f>
        <v>1</v>
      </c>
      <c r="E7" s="1"/>
      <c r="F7" s="1"/>
      <c r="G7" s="1"/>
    </row>
    <row r="8" spans="1:9">
      <c r="A8" t="b">
        <f>HIDE.OBJECT("trait 15", 0)</f>
        <v>1</v>
      </c>
      <c r="B8" t="b">
        <f>HIDE.OBJECT("trait 15", 1)</f>
        <v>1</v>
      </c>
      <c r="C8" t="b">
        <f>HIDE.OBJECT("texte 22", 1)</f>
        <v>1</v>
      </c>
      <c r="D8" s="2" t="s">
        <v>32</v>
      </c>
      <c r="F8" s="1"/>
      <c r="G8" s="1"/>
    </row>
    <row r="9" spans="1:9">
      <c r="A9" t="b">
        <f>HIDE.OBJECT("trait 16", 0)</f>
        <v>1</v>
      </c>
      <c r="B9" t="b">
        <f>HIDE.OBJECT("trait 16", 1)</f>
        <v>1</v>
      </c>
      <c r="C9" t="b">
        <f>HIDE.OBJECT("texte 23", 1)</f>
        <v>1</v>
      </c>
    </row>
    <row r="10" spans="1:9">
      <c r="A10" t="b">
        <f>HIDE.OBJECT("rectangle 1", 0)</f>
        <v>1</v>
      </c>
      <c r="B10" t="b">
        <f>HIDE.OBJECT("rectangle 1", 1)</f>
        <v>1</v>
      </c>
      <c r="C10" t="b">
        <f>HIDE.OBJECT("trait 25", 1)</f>
        <v>1</v>
      </c>
    </row>
    <row r="11" spans="1:9">
      <c r="A11" t="b">
        <f>HIDE.OBJECT("rectangle 2", 0)</f>
        <v>1</v>
      </c>
      <c r="B11" t="b">
        <f>HIDE.OBJECT("rectangle 2", 1)</f>
        <v>1</v>
      </c>
      <c r="C11" t="b">
        <f>HIDE.OBJECT("trait 27", 1)</f>
        <v>1</v>
      </c>
    </row>
    <row r="12" spans="1:9">
      <c r="A12" t="b">
        <f>HIDE.OBJECT("rectangle 3", 0)</f>
        <v>1</v>
      </c>
      <c r="B12" t="b">
        <f>HIDE.OBJECT("rectangle 3", 1)</f>
        <v>1</v>
      </c>
      <c r="C12" t="b">
        <f>RETURN()</f>
        <v>1</v>
      </c>
    </row>
    <row r="13" spans="1:9">
      <c r="A13" t="b">
        <f>HIDE.OBJECT("rectangle 4", 0)</f>
        <v>1</v>
      </c>
      <c r="B13" t="b">
        <f>HIDE.OBJECT("rectangle 4", 1)</f>
        <v>1</v>
      </c>
    </row>
    <row r="14" spans="1:9">
      <c r="A14" t="b">
        <f>HIDE.OBJECT("texte 5", 0)</f>
        <v>1</v>
      </c>
      <c r="B14" t="b">
        <f>HIDE.OBJECT("texte 5", 1)</f>
        <v>1</v>
      </c>
    </row>
    <row r="15" spans="1:9">
      <c r="A15" t="b">
        <f>HIDE.OBJECT("texte 6", 0)</f>
        <v>1</v>
      </c>
      <c r="B15" t="b">
        <f>HIDE.OBJECT("texte 6", 1)</f>
        <v>1</v>
      </c>
    </row>
    <row r="16" spans="1:9">
      <c r="A16" t="b">
        <f>RETURN()</f>
        <v>1</v>
      </c>
      <c r="B16" t="b">
        <f>HIDE.OBJECT("rectangle 18", 0)</f>
        <v>1</v>
      </c>
    </row>
    <row r="17" spans="1:2">
      <c r="B17" t="b">
        <f>HIDE.OBJECT("rectangle 19", 0)</f>
        <v>1</v>
      </c>
    </row>
    <row r="18" spans="1:2">
      <c r="A18" t="s">
        <v>33</v>
      </c>
      <c r="B18" t="b">
        <f>HIDE.OBJECT("rectangle 20", 0)</f>
        <v>1</v>
      </c>
    </row>
    <row r="19" spans="1:2">
      <c r="B19" t="b">
        <f>HIDE.OBJECT("rectangle 21", 0)</f>
        <v>1</v>
      </c>
    </row>
    <row r="20" spans="1:2">
      <c r="B20" t="b">
        <f>HIDE.OBJECT("rectangle 24", 0)</f>
        <v>1</v>
      </c>
    </row>
    <row r="21" spans="1:2">
      <c r="B21" t="b">
        <f>HIDE.OBJECT("rectangle 26", 0)</f>
        <v>1</v>
      </c>
    </row>
    <row r="22" spans="1:2">
      <c r="B22" t="b">
        <f>HIDE.OBJECT("texte 22", 0)</f>
        <v>1</v>
      </c>
    </row>
    <row r="23" spans="1:2">
      <c r="B23" t="b">
        <f>HIDE.OBJECT("texte 23", 0)</f>
        <v>1</v>
      </c>
    </row>
    <row r="24" spans="1:2">
      <c r="B24" t="b">
        <f>HIDE.OBJECT("trait 25", 0)</f>
        <v>1</v>
      </c>
    </row>
    <row r="25" spans="1:2">
      <c r="B25" t="b">
        <f>HIDE.OBJECT("trait 27", 0)</f>
        <v>1</v>
      </c>
    </row>
    <row r="26" spans="1:2">
      <c r="B26" t="b">
        <f>RETURN()</f>
        <v>1</v>
      </c>
    </row>
  </sheetData>
  <phoneticPr fontId="6" type="noConversion"/>
  <printOptions gridLines="1" gridLinesSet="0"/>
  <pageMargins left="0.78740157499999996" right="0.78740157499999996" top="0.984251969" bottom="0.984251969" header="0.5" footer="0.5"/>
  <headerFooter alignWithMargins="0">
    <oddHeader>&amp;A</oddHeader>
    <oddFooter>Page &amp;P</oddFooter>
  </headerFooter>
</xm:macroshee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Q27"/>
  <sheetViews>
    <sheetView tabSelected="1" topLeftCell="B1" zoomScale="75" workbookViewId="0">
      <selection activeCell="G20" sqref="G20"/>
    </sheetView>
  </sheetViews>
  <sheetFormatPr baseColWidth="10" defaultColWidth="9.140625" defaultRowHeight="12.75"/>
  <cols>
    <col min="1" max="1" width="9.85546875" style="5" bestFit="1" customWidth="1"/>
    <col min="2" max="2" width="18" style="5" bestFit="1" customWidth="1"/>
    <col min="3" max="8" width="8.85546875" style="5" customWidth="1"/>
    <col min="9" max="9" width="12.140625" style="5" customWidth="1"/>
    <col min="10" max="15" width="8.85546875" style="5" customWidth="1"/>
    <col min="16" max="16" width="12.5703125" style="5" customWidth="1"/>
    <col min="17" max="17" width="16.5703125" style="5" bestFit="1" customWidth="1"/>
    <col min="18" max="16384" width="9.140625" style="5"/>
  </cols>
  <sheetData>
    <row r="1" spans="1:17" s="3" customFormat="1" ht="15.75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s="3" customFormat="1" ht="15.7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s="3" customFormat="1" ht="15.7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s="9" customFormat="1" ht="18.75" customHeight="1">
      <c r="A4" s="6"/>
      <c r="B4" s="7"/>
      <c r="C4" s="8" t="s">
        <v>1</v>
      </c>
      <c r="D4" s="8" t="s">
        <v>2</v>
      </c>
      <c r="E4" s="8" t="s">
        <v>3</v>
      </c>
      <c r="F4" s="8" t="s">
        <v>4</v>
      </c>
      <c r="G4" s="8" t="s">
        <v>5</v>
      </c>
      <c r="H4" s="8" t="s">
        <v>34</v>
      </c>
      <c r="I4" s="8" t="s">
        <v>35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</v>
      </c>
      <c r="O4" s="8" t="s">
        <v>11</v>
      </c>
      <c r="P4" s="8" t="s">
        <v>36</v>
      </c>
      <c r="Q4" s="8" t="s">
        <v>12</v>
      </c>
    </row>
    <row r="5" spans="1:17" s="13" customFormat="1" ht="18.75" customHeight="1">
      <c r="A5" s="10" t="s">
        <v>13</v>
      </c>
      <c r="B5" s="11" t="s">
        <v>14</v>
      </c>
      <c r="C5" s="12">
        <v>31000</v>
      </c>
      <c r="D5" s="12">
        <v>28000</v>
      </c>
      <c r="E5" s="12">
        <v>32000</v>
      </c>
      <c r="F5" s="12">
        <v>28000</v>
      </c>
      <c r="G5" s="12">
        <v>32000</v>
      </c>
      <c r="H5" s="12">
        <v>31000</v>
      </c>
      <c r="I5" s="12">
        <f>SUM(C5:H5)</f>
        <v>182000</v>
      </c>
      <c r="J5" s="12">
        <v>32000</v>
      </c>
      <c r="K5" s="12">
        <v>28000</v>
      </c>
      <c r="L5" s="12">
        <v>27000</v>
      </c>
      <c r="M5" s="12">
        <v>28000</v>
      </c>
      <c r="N5" s="12">
        <v>32000</v>
      </c>
      <c r="O5" s="12">
        <v>29000</v>
      </c>
      <c r="P5" s="12">
        <f>SUM(J5:O5)</f>
        <v>176000</v>
      </c>
      <c r="Q5" s="12">
        <f>I5+P5</f>
        <v>358000</v>
      </c>
    </row>
    <row r="6" spans="1:17" s="13" customFormat="1" ht="18.75" customHeight="1">
      <c r="A6" s="14"/>
      <c r="B6" s="11" t="s">
        <v>15</v>
      </c>
      <c r="C6" s="12">
        <v>63000</v>
      </c>
      <c r="D6" s="12">
        <v>20000</v>
      </c>
      <c r="E6" s="12">
        <v>12000</v>
      </c>
      <c r="F6" s="12">
        <v>83000</v>
      </c>
      <c r="G6" s="12">
        <v>16000</v>
      </c>
      <c r="H6" s="12">
        <v>52000</v>
      </c>
      <c r="I6" s="12">
        <f t="shared" ref="I6:I11" si="0">SUM(C6:H6)</f>
        <v>246000</v>
      </c>
      <c r="J6" s="12">
        <v>29000</v>
      </c>
      <c r="K6" s="12">
        <v>33000</v>
      </c>
      <c r="L6" s="12">
        <v>72000</v>
      </c>
      <c r="M6" s="12">
        <v>55000</v>
      </c>
      <c r="N6" s="12">
        <v>49000</v>
      </c>
      <c r="O6" s="12">
        <v>58000</v>
      </c>
      <c r="P6" s="12">
        <f t="shared" ref="P6:P11" si="1">SUM(J6:O6)</f>
        <v>296000</v>
      </c>
      <c r="Q6" s="12">
        <f t="shared" ref="Q6:Q13" si="2">I6+P6</f>
        <v>542000</v>
      </c>
    </row>
    <row r="7" spans="1:17" s="13" customFormat="1" ht="18.75" customHeight="1">
      <c r="A7" s="14"/>
      <c r="B7" s="11" t="s">
        <v>16</v>
      </c>
      <c r="C7" s="12">
        <v>45000</v>
      </c>
      <c r="D7" s="12">
        <v>77000</v>
      </c>
      <c r="E7" s="12">
        <v>76000</v>
      </c>
      <c r="F7" s="12">
        <v>22000</v>
      </c>
      <c r="G7" s="12">
        <v>67000</v>
      </c>
      <c r="H7" s="12">
        <v>88000</v>
      </c>
      <c r="I7" s="12">
        <f t="shared" si="0"/>
        <v>375000</v>
      </c>
      <c r="J7" s="12">
        <v>12000</v>
      </c>
      <c r="K7" s="12">
        <v>33000</v>
      </c>
      <c r="L7" s="12">
        <v>43000</v>
      </c>
      <c r="M7" s="12">
        <v>53000</v>
      </c>
      <c r="N7" s="12">
        <v>62000</v>
      </c>
      <c r="O7" s="12">
        <v>53000</v>
      </c>
      <c r="P7" s="12">
        <f t="shared" si="1"/>
        <v>256000</v>
      </c>
      <c r="Q7" s="12">
        <f t="shared" si="2"/>
        <v>631000</v>
      </c>
    </row>
    <row r="8" spans="1:17" s="13" customFormat="1" ht="18.75" customHeight="1">
      <c r="A8" s="14"/>
      <c r="B8" s="15" t="s">
        <v>17</v>
      </c>
      <c r="C8" s="12">
        <f t="shared" ref="C8:P8" si="3">SUM(C5:C7)</f>
        <v>139000</v>
      </c>
      <c r="D8" s="12">
        <f t="shared" si="3"/>
        <v>125000</v>
      </c>
      <c r="E8" s="12">
        <f t="shared" si="3"/>
        <v>120000</v>
      </c>
      <c r="F8" s="12">
        <f t="shared" si="3"/>
        <v>133000</v>
      </c>
      <c r="G8" s="12">
        <f t="shared" si="3"/>
        <v>115000</v>
      </c>
      <c r="H8" s="12">
        <f t="shared" si="3"/>
        <v>171000</v>
      </c>
      <c r="I8" s="12">
        <f t="shared" si="3"/>
        <v>803000</v>
      </c>
      <c r="J8" s="12">
        <f t="shared" si="3"/>
        <v>73000</v>
      </c>
      <c r="K8" s="12">
        <f t="shared" si="3"/>
        <v>94000</v>
      </c>
      <c r="L8" s="12">
        <f t="shared" si="3"/>
        <v>142000</v>
      </c>
      <c r="M8" s="12">
        <f t="shared" si="3"/>
        <v>136000</v>
      </c>
      <c r="N8" s="12">
        <f t="shared" si="3"/>
        <v>143000</v>
      </c>
      <c r="O8" s="12">
        <f t="shared" si="3"/>
        <v>140000</v>
      </c>
      <c r="P8" s="12">
        <f t="shared" si="3"/>
        <v>728000</v>
      </c>
      <c r="Q8" s="12">
        <f t="shared" si="2"/>
        <v>1531000</v>
      </c>
    </row>
    <row r="9" spans="1:17" s="13" customFormat="1" ht="18.75" customHeight="1">
      <c r="A9" s="10" t="s">
        <v>18</v>
      </c>
      <c r="B9" s="11" t="s">
        <v>19</v>
      </c>
      <c r="C9" s="12">
        <v>30000</v>
      </c>
      <c r="D9" s="12">
        <v>85000</v>
      </c>
      <c r="E9" s="12">
        <v>24000</v>
      </c>
      <c r="F9" s="12">
        <v>27000</v>
      </c>
      <c r="G9" s="12">
        <v>70000</v>
      </c>
      <c r="H9" s="12">
        <v>29000</v>
      </c>
      <c r="I9" s="12">
        <f t="shared" si="0"/>
        <v>265000</v>
      </c>
      <c r="J9" s="12">
        <v>60000</v>
      </c>
      <c r="K9" s="12">
        <v>41000</v>
      </c>
      <c r="L9" s="12">
        <v>97000</v>
      </c>
      <c r="M9" s="12">
        <v>47000</v>
      </c>
      <c r="N9" s="12">
        <v>78000</v>
      </c>
      <c r="O9" s="12">
        <v>55000</v>
      </c>
      <c r="P9" s="12">
        <f t="shared" si="1"/>
        <v>378000</v>
      </c>
      <c r="Q9" s="12">
        <f t="shared" si="2"/>
        <v>643000</v>
      </c>
    </row>
    <row r="10" spans="1:17" s="13" customFormat="1" ht="18.75" customHeight="1">
      <c r="A10" s="14"/>
      <c r="B10" s="11" t="s">
        <v>20</v>
      </c>
      <c r="C10" s="12">
        <v>80000</v>
      </c>
      <c r="D10" s="12">
        <v>18000</v>
      </c>
      <c r="E10" s="12">
        <v>66000</v>
      </c>
      <c r="F10" s="12">
        <v>62000</v>
      </c>
      <c r="G10" s="12">
        <v>46000</v>
      </c>
      <c r="H10" s="12">
        <v>16000</v>
      </c>
      <c r="I10" s="12">
        <f t="shared" si="0"/>
        <v>288000</v>
      </c>
      <c r="J10" s="12">
        <v>56000</v>
      </c>
      <c r="K10" s="12">
        <v>71000</v>
      </c>
      <c r="L10" s="12">
        <v>21000</v>
      </c>
      <c r="M10" s="12">
        <v>55000</v>
      </c>
      <c r="N10" s="12">
        <v>71000</v>
      </c>
      <c r="O10" s="12">
        <v>59000</v>
      </c>
      <c r="P10" s="12">
        <f t="shared" si="1"/>
        <v>333000</v>
      </c>
      <c r="Q10" s="12">
        <f t="shared" si="2"/>
        <v>621000</v>
      </c>
    </row>
    <row r="11" spans="1:17" s="13" customFormat="1" ht="18.75" customHeight="1">
      <c r="A11" s="14"/>
      <c r="B11" s="11" t="s">
        <v>21</v>
      </c>
      <c r="C11" s="12">
        <v>63000</v>
      </c>
      <c r="D11" s="12">
        <v>82000</v>
      </c>
      <c r="E11" s="12">
        <v>51000</v>
      </c>
      <c r="F11" s="12">
        <v>77000</v>
      </c>
      <c r="G11" s="12">
        <v>60000</v>
      </c>
      <c r="H11" s="12">
        <v>29000</v>
      </c>
      <c r="I11" s="12">
        <f t="shared" si="0"/>
        <v>362000</v>
      </c>
      <c r="J11" s="12">
        <v>77000</v>
      </c>
      <c r="K11" s="12">
        <v>43000</v>
      </c>
      <c r="L11" s="12">
        <v>86000</v>
      </c>
      <c r="M11" s="12">
        <v>19000</v>
      </c>
      <c r="N11" s="12">
        <v>47000</v>
      </c>
      <c r="O11" s="12">
        <v>89000</v>
      </c>
      <c r="P11" s="12">
        <f t="shared" si="1"/>
        <v>361000</v>
      </c>
      <c r="Q11" s="12">
        <f t="shared" si="2"/>
        <v>723000</v>
      </c>
    </row>
    <row r="12" spans="1:17" s="13" customFormat="1" ht="18.75" customHeight="1">
      <c r="A12" s="14"/>
      <c r="B12" s="15" t="s">
        <v>22</v>
      </c>
      <c r="C12" s="12">
        <f t="shared" ref="C12:P12" si="4">SUM(C9:C11)</f>
        <v>173000</v>
      </c>
      <c r="D12" s="12">
        <f t="shared" si="4"/>
        <v>185000</v>
      </c>
      <c r="E12" s="12">
        <f t="shared" si="4"/>
        <v>141000</v>
      </c>
      <c r="F12" s="12">
        <f t="shared" si="4"/>
        <v>166000</v>
      </c>
      <c r="G12" s="12">
        <f t="shared" si="4"/>
        <v>176000</v>
      </c>
      <c r="H12" s="12">
        <f t="shared" si="4"/>
        <v>74000</v>
      </c>
      <c r="I12" s="12">
        <f t="shared" si="4"/>
        <v>915000</v>
      </c>
      <c r="J12" s="12">
        <f t="shared" si="4"/>
        <v>193000</v>
      </c>
      <c r="K12" s="12">
        <f t="shared" si="4"/>
        <v>155000</v>
      </c>
      <c r="L12" s="12">
        <f t="shared" si="4"/>
        <v>204000</v>
      </c>
      <c r="M12" s="12">
        <f t="shared" si="4"/>
        <v>121000</v>
      </c>
      <c r="N12" s="12">
        <f t="shared" si="4"/>
        <v>196000</v>
      </c>
      <c r="O12" s="12">
        <f t="shared" si="4"/>
        <v>203000</v>
      </c>
      <c r="P12" s="12">
        <f t="shared" si="4"/>
        <v>1072000</v>
      </c>
      <c r="Q12" s="12">
        <f t="shared" si="2"/>
        <v>1987000</v>
      </c>
    </row>
    <row r="13" spans="1:17" s="13" customFormat="1" ht="18.75" customHeight="1">
      <c r="A13" s="14"/>
      <c r="B13" s="15" t="s">
        <v>23</v>
      </c>
      <c r="C13" s="12">
        <f t="shared" ref="C13:P13" si="5">SUM(C8,C12)</f>
        <v>312000</v>
      </c>
      <c r="D13" s="12">
        <f t="shared" si="5"/>
        <v>310000</v>
      </c>
      <c r="E13" s="12">
        <f t="shared" si="5"/>
        <v>261000</v>
      </c>
      <c r="F13" s="12">
        <f t="shared" si="5"/>
        <v>299000</v>
      </c>
      <c r="G13" s="12">
        <f t="shared" si="5"/>
        <v>291000</v>
      </c>
      <c r="H13" s="12">
        <f t="shared" si="5"/>
        <v>245000</v>
      </c>
      <c r="I13" s="12">
        <f t="shared" si="5"/>
        <v>1718000</v>
      </c>
      <c r="J13" s="12">
        <f t="shared" si="5"/>
        <v>266000</v>
      </c>
      <c r="K13" s="12">
        <f t="shared" si="5"/>
        <v>249000</v>
      </c>
      <c r="L13" s="12">
        <f t="shared" si="5"/>
        <v>346000</v>
      </c>
      <c r="M13" s="12">
        <f t="shared" si="5"/>
        <v>257000</v>
      </c>
      <c r="N13" s="12">
        <f t="shared" si="5"/>
        <v>339000</v>
      </c>
      <c r="O13" s="12">
        <f t="shared" si="5"/>
        <v>343000</v>
      </c>
      <c r="P13" s="12">
        <f t="shared" si="5"/>
        <v>1800000</v>
      </c>
      <c r="Q13" s="12">
        <f t="shared" si="2"/>
        <v>3518000</v>
      </c>
    </row>
    <row r="14" spans="1:17" ht="18" customHeight="1"/>
    <row r="15" spans="1:17" ht="18" customHeight="1"/>
    <row r="16" spans="1:17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</sheetData>
  <phoneticPr fontId="6" type="noConversion"/>
  <printOptions horizontalCentered="1"/>
  <pageMargins left="0.27" right="0.23622047244094491" top="0.98425196850393704" bottom="0.98425196850393704" header="0.51181102362204722" footer="0.51181102362204722"/>
  <pageSetup paperSize="9" scale="82" orientation="landscape" horizontalDpi="300" verticalDpi="300" r:id="rId1"/>
  <headerFooter alignWithMargins="0">
    <oddHeader>&amp;C&amp;A</oddHeader>
    <oddFooter>&amp;L&amp;F</oddFooter>
  </headerFooter>
  <ignoredErrors>
    <ignoredError sqref="I8 P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Macros Excel 4.0</vt:lpstr>
      </vt:variant>
      <vt:variant>
        <vt:i4>1</vt:i4>
      </vt:variant>
    </vt:vector>
  </HeadingPairs>
  <TitlesOfParts>
    <vt:vector size="2" baseType="lpstr">
      <vt:lpstr>rapport_annuel</vt:lpstr>
      <vt:lpstr>Macro1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Fichier d'exemple. Ne pas modifier, s'il vous plaît.</dc:title>
  <dc:creator>Microsoft Corp.</dc:creator>
  <cp:lastModifiedBy>Rafi</cp:lastModifiedBy>
  <cp:lastPrinted>2000-06-27T14:37:50Z</cp:lastPrinted>
  <dcterms:created xsi:type="dcterms:W3CDTF">1998-06-28T16:38:24Z</dcterms:created>
  <dcterms:modified xsi:type="dcterms:W3CDTF">2011-08-30T12:38:17Z</dcterms:modified>
</cp:coreProperties>
</file>